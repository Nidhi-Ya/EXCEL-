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CB0FCD01-9E89-4913-96F0-03A983C2E971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K16" i="1"/>
  <c r="K18" i="1"/>
  <c r="K19" i="1"/>
  <c r="K21" i="1"/>
  <c r="K22" i="1"/>
  <c r="K23" i="1"/>
  <c r="K24" i="1"/>
  <c r="K25" i="1"/>
  <c r="K33" i="1"/>
  <c r="O11" i="1"/>
  <c r="K54" i="1"/>
  <c r="K53" i="1"/>
  <c r="K51" i="1"/>
  <c r="K50" i="1"/>
  <c r="K48" i="1"/>
  <c r="K46" i="1"/>
  <c r="K44" i="1"/>
  <c r="K43" i="1"/>
  <c r="K41" i="1"/>
  <c r="K40" i="1"/>
  <c r="K38" i="1"/>
  <c r="K36" i="1"/>
  <c r="K34" i="1"/>
  <c r="K32" i="1"/>
  <c r="K30" i="1"/>
  <c r="K28" i="1"/>
  <c r="K26" i="1"/>
</calcChain>
</file>

<file path=xl/sharedStrings.xml><?xml version="1.0" encoding="utf-8"?>
<sst xmlns="http://schemas.openxmlformats.org/spreadsheetml/2006/main" count="448" uniqueCount="265">
  <si>
    <t>Name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</si>
  <si>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</si>
  <si>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</si>
  <si>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</si>
  <si>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</si>
  <si>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</si>
  <si>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</si>
  <si>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</si>
  <si>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</si>
  <si>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</si>
  <si>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</si>
  <si>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</si>
  <si>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</si>
  <si>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</si>
  <si>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</si>
  <si>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</si>
  <si>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</si>
  <si>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</si>
  <si>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</si>
  <si>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</si>
  <si>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</si>
  <si>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</si>
  <si>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</si>
  <si>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</si>
  <si>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</si>
  <si>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</si>
  <si>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</si>
  <si>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</si>
  <si>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</si>
  <si>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</si>
  <si>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</si>
  <si>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</si>
  <si>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</si>
  <si>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</si>
  <si>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</si>
  <si>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</si>
  <si>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</si>
  <si>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</si>
  <si>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</si>
  <si>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</si>
  <si>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</si>
  <si>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</si>
  <si>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</si>
  <si>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</si>
  <si>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</si>
  <si>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</si>
  <si>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</si>
  <si>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</si>
  <si>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</si>
  <si>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</si>
  <si>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</si>
  <si>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</si>
  <si>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</si>
  <si>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</si>
  <si>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</si>
  <si>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</si>
  <si>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</si>
  <si>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</si>
  <si>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</si>
  <si>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</si>
  <si>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</si>
  <si>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</si>
  <si>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</si>
  <si>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</si>
  <si>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</si>
  <si>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</si>
  <si>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</si>
  <si>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</si>
  <si>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</si>
  <si>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</si>
  <si>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</si>
  <si>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</si>
  <si>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</si>
  <si>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</si>
  <si>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</si>
  <si>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</si>
  <si>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</si>
  <si>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</si>
  <si>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</si>
  <si>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</si>
  <si>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</si>
  <si>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</si>
  <si>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</si>
  <si>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</si>
  <si>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</si>
  <si>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</si>
  <si>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</si>
  <si>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</si>
  <si>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</si>
  <si>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</si>
  <si>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</si>
  <si>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</si>
  <si>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</si>
  <si>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</si>
  <si>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</si>
  <si>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</si>
  <si>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</si>
  <si>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</si>
  <si>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</si>
  <si>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</si>
  <si>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</si>
  <si>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</si>
  <si>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</si>
  <si>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</si>
  <si>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</si>
  <si>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</si>
  <si>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</si>
  <si>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</si>
  <si>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</si>
  <si>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</si>
  <si>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</si>
  <si>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</si>
  <si>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</si>
  <si>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</si>
  <si>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</si>
  <si>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</si>
  <si>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</si>
  <si>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</si>
  <si>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</si>
  <si>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</si>
  <si>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</si>
  <si>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</si>
  <si>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</si>
  <si>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</si>
  <si>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</si>
  <si>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</si>
  <si>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</si>
  <si>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</si>
  <si>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</si>
  <si>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</si>
  <si>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</si>
  <si>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</si>
  <si>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</si>
  <si>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</si>
  <si>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</si>
  <si>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</si>
  <si>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</si>
  <si>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</si>
  <si>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</si>
  <si>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</si>
  <si>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</si>
  <si>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</si>
  <si>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</si>
  <si>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</si>
  <si>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</si>
  <si>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</si>
  <si>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</si>
  <si>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id</t>
  </si>
  <si>
    <t>Address not Available</t>
  </si>
  <si>
    <t>john.doe</t>
  </si>
  <si>
    <t>gmail.com</t>
  </si>
  <si>
    <t>jane.smith</t>
  </si>
  <si>
    <t>hotmail.com</t>
  </si>
  <si>
    <t>amit.patel</t>
  </si>
  <si>
    <t>priya.sharma</t>
  </si>
  <si>
    <t>yahoo.com</t>
  </si>
  <si>
    <t>jane.doe</t>
  </si>
  <si>
    <t>rakesh.kumar</t>
  </si>
  <si>
    <t>aman.verma</t>
  </si>
  <si>
    <t>neha.gupta</t>
  </si>
  <si>
    <t>naveen.sharma</t>
  </si>
  <si>
    <t>vinita.kapoor</t>
  </si>
  <si>
    <t>rajeev.kumar</t>
  </si>
  <si>
    <t>swati.singh</t>
  </si>
  <si>
    <t>kavita.sharma</t>
  </si>
  <si>
    <t>manish.patel</t>
  </si>
  <si>
    <t>priyanka.jain</t>
  </si>
  <si>
    <t>rohit.sharma</t>
  </si>
  <si>
    <t>deepika.singh</t>
  </si>
  <si>
    <t>vikas.joshi</t>
  </si>
  <si>
    <t>nisha.verma</t>
  </si>
  <si>
    <t>manoj.kumar</t>
  </si>
  <si>
    <t>sanjay.gupta</t>
  </si>
  <si>
    <t>anjali.sharma</t>
  </si>
  <si>
    <t>akash.patel</t>
  </si>
  <si>
    <t>preeti.singh</t>
  </si>
  <si>
    <t>ravi.kumar</t>
  </si>
  <si>
    <t>swati.mishra</t>
  </si>
  <si>
    <t>ankit.singh</t>
  </si>
  <si>
    <t>rajeev.sharma</t>
  </si>
  <si>
    <t>sarika.patel</t>
  </si>
  <si>
    <t>vinay.singh</t>
  </si>
  <si>
    <t>priya.gupta</t>
  </si>
  <si>
    <t>sushant.patel</t>
  </si>
  <si>
    <t>payal.sharma</t>
  </si>
  <si>
    <t>mohit.verma</t>
  </si>
  <si>
    <t>kavita.singh</t>
  </si>
  <si>
    <t>ankit.patel</t>
  </si>
  <si>
    <t>pooja.mishra</t>
  </si>
  <si>
    <t>mohan.kumar</t>
  </si>
  <si>
    <t>anjali.gupta</t>
  </si>
  <si>
    <t>mukesh.sharma</t>
  </si>
  <si>
    <t>arjun.singh</t>
  </si>
  <si>
    <t>divya.patel</t>
  </si>
  <si>
    <t>gaurav.kumar</t>
  </si>
  <si>
    <t>aditi.shah</t>
  </si>
  <si>
    <t>sandeep.singh</t>
  </si>
  <si>
    <t>shalini.sharma</t>
  </si>
  <si>
    <t>john</t>
  </si>
  <si>
    <t>doe</t>
  </si>
  <si>
    <t>jane</t>
  </si>
  <si>
    <t>smith</t>
  </si>
  <si>
    <t>amit</t>
  </si>
  <si>
    <t>patel</t>
  </si>
  <si>
    <t>priya</t>
  </si>
  <si>
    <t>sharma</t>
  </si>
  <si>
    <t>rakesh</t>
  </si>
  <si>
    <t>kumar</t>
  </si>
  <si>
    <t>aman</t>
  </si>
  <si>
    <t>verma</t>
  </si>
  <si>
    <t>neha</t>
  </si>
  <si>
    <t>gupta</t>
  </si>
  <si>
    <t>naveen</t>
  </si>
  <si>
    <t>vinita</t>
  </si>
  <si>
    <t>kapoor</t>
  </si>
  <si>
    <t>rajeev</t>
  </si>
  <si>
    <t>swati</t>
  </si>
  <si>
    <t>singh</t>
  </si>
  <si>
    <t>kavita</t>
  </si>
  <si>
    <t>manish</t>
  </si>
  <si>
    <t>priyanka</t>
  </si>
  <si>
    <t>jain</t>
  </si>
  <si>
    <t>rohit</t>
  </si>
  <si>
    <t>deepika</t>
  </si>
  <si>
    <t>vikas</t>
  </si>
  <si>
    <t>joshi</t>
  </si>
  <si>
    <t>nisha</t>
  </si>
  <si>
    <t>manoj</t>
  </si>
  <si>
    <t>sanjay</t>
  </si>
  <si>
    <t>anjali</t>
  </si>
  <si>
    <t>akash</t>
  </si>
  <si>
    <t>preeti</t>
  </si>
  <si>
    <t>ravi</t>
  </si>
  <si>
    <t>mishra</t>
  </si>
  <si>
    <t>ankit</t>
  </si>
  <si>
    <t>sarika</t>
  </si>
  <si>
    <t>vinay</t>
  </si>
  <si>
    <t>sushant</t>
  </si>
  <si>
    <t>payal</t>
  </si>
  <si>
    <t>mohit</t>
  </si>
  <si>
    <t>pooja</t>
  </si>
  <si>
    <t>mohan</t>
  </si>
  <si>
    <t>mukesh</t>
  </si>
  <si>
    <t>arjun</t>
  </si>
  <si>
    <t>divya</t>
  </si>
  <si>
    <t>gaurav</t>
  </si>
  <si>
    <t>aditi</t>
  </si>
  <si>
    <t>shah</t>
  </si>
  <si>
    <t>sandeep</t>
  </si>
  <si>
    <t>shalini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</si>
  <si>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</si>
  <si>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</si>
  <si>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</si>
  <si>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</si>
  <si>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</si>
  <si>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</si>
  <si>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</si>
  <si>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</si>
  <si>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</si>
  <si>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name</t>
  </si>
  <si>
    <t>domain name</t>
  </si>
  <si>
    <t>first name</t>
  </si>
  <si>
    <t>Last name</t>
  </si>
  <si>
    <t>support@dataisgood.com</t>
  </si>
  <si>
    <t>mean+V24O10:U30O10:S48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</si>
</sst>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49" fontId="0" fillId="0" borderId="0" xfId="0" applyNumberFormat="1"/>
    <xf numFmtId="0" fontId="2" fillId="0" borderId="0" xfId="0" applyFont="1"/>
    <xf numFmtId="0" fontId="3" fillId="0" borderId="0" xfId="0" applyFont="1"/>
    <xf numFmtId="164" fontId="0" fillId="0" borderId="0" xfId="0" applyNumberFormat="1"/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0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11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4"/>
    <tableColumn id="7" xr3:uid="{9F3F4B7E-0B29-4F47-944B-C89BC5596DA2}" name="Phone" dataDxfId="0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T58"/>
  <sheetViews>
    <sheetView tabSelected="1" topLeftCell="C1" zoomScale="85" zoomScaleNormal="85" workbookViewId="0">
      <selection activeCell="O10" sqref="O10:V20"/>
    </sheetView>
  </sheetViews>
  <sheetFormatPr defaultRowHeight="14.4" x14ac:dyDescent="0.3"/>
  <cols>
    <col min="4" max="4" width="8.88671875" customWidth="1"/>
    <col min="5" max="5" width="3" bestFit="1" customWidth="1"/>
    <col min="6" max="6" width="14.3320312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25.109375" customWidth="1"/>
    <col min="12" max="12" width="38.5546875" bestFit="1" customWidth="1"/>
    <col min="13" max="13" width="6.109375" bestFit="1" customWidth="1"/>
    <col min="14" max="14" width="6" bestFit="1" customWidth="1"/>
    <col min="17" max="17" width="14.33203125" bestFit="1" customWidth="1"/>
    <col min="18" max="18" width="13.21875" bestFit="1" customWidth="1"/>
    <col min="20" max="20" width="10.5546875" bestFit="1" customWidth="1"/>
    <col min="22" max="22" width="10.5546875" bestFit="1" customWidth="1"/>
  </cols>
  <sheetData>
    <row r="7" spans="5:19" x14ac:dyDescent="0.3">
      <c r="E7" t="s">
        <v>147</v>
      </c>
      <c r="F7" s="1" t="s">
        <v>0</v>
      </c>
      <c r="G7" s="1" t="s">
        <v>1</v>
      </c>
      <c r="H7" s="1" t="s">
        <v>2</v>
      </c>
      <c r="I7" s="1" t="s">
        <v>138</v>
      </c>
      <c r="J7" s="1" t="s">
        <v>3</v>
      </c>
      <c r="K7" s="1" t="s">
        <v>4</v>
      </c>
      <c r="L7" s="1" t="s">
        <v>5</v>
      </c>
      <c r="M7" s="1" t="s">
        <v>132</v>
      </c>
    </row>
    <row r="8" spans="5:19" x14ac:dyDescent="0.3">
      <c r="E8">
        <v>1</v>
      </c>
      <c r="F8" t="s">
        <v>32</v>
      </c>
      <c r="G8">
        <v>32</v>
      </c>
      <c r="H8" t="s">
        <v>7</v>
      </c>
      <c r="I8" t="s">
        <v>140</v>
      </c>
      <c r="J8" t="s">
        <v>33</v>
      </c>
      <c r="K8" s="5" t="s">
        <v>133</v>
      </c>
      <c r="L8" t="s">
        <v>34</v>
      </c>
      <c r="M8">
        <v>4553</v>
      </c>
    </row>
    <row r="9" spans="5:19" x14ac:dyDescent="0.3">
      <c r="E9">
        <v>2</v>
      </c>
      <c r="F9" t="s">
        <v>35</v>
      </c>
      <c r="G9">
        <v>28</v>
      </c>
      <c r="H9" t="s">
        <v>11</v>
      </c>
      <c r="I9" t="s">
        <v>141</v>
      </c>
      <c r="J9" t="s">
        <v>36</v>
      </c>
      <c r="K9" s="5" t="s">
        <v>134</v>
      </c>
      <c r="L9" t="s">
        <v>37</v>
      </c>
      <c r="M9">
        <v>31169</v>
      </c>
    </row>
    <row r="10" spans="5:19" ht="15.6" x14ac:dyDescent="0.3">
      <c r="E10">
        <v>3</v>
      </c>
      <c r="F10" t="s">
        <v>38</v>
      </c>
      <c r="G10">
        <v>27</v>
      </c>
      <c r="H10" t="s">
        <v>7</v>
      </c>
      <c r="I10" t="s">
        <v>141</v>
      </c>
      <c r="J10" t="s">
        <v>39</v>
      </c>
      <c r="K10" s="5" t="s">
        <v>135</v>
      </c>
      <c r="L10" t="s">
        <v>40</v>
      </c>
      <c r="M10">
        <v>11116</v>
      </c>
      <c r="O10" s="4" t="s">
        <v>264</v>
      </c>
      <c r="P10" s="4" t="s">
        <v>259</v>
      </c>
      <c r="Q10" s="4" t="s">
        <v>260</v>
      </c>
      <c r="R10" s="3" t="s">
        <v>261</v>
      </c>
      <c r="S10" s="3" t="s">
        <v>262</v>
      </c>
    </row>
    <row r="11" spans="5:19" x14ac:dyDescent="0.3">
      <c r="E11">
        <v>4</v>
      </c>
      <c r="F11" t="s">
        <v>41</v>
      </c>
      <c r="G11">
        <v>33</v>
      </c>
      <c r="H11" t="s">
        <v>11</v>
      </c>
      <c r="I11" t="s">
        <v>139</v>
      </c>
      <c r="J11" t="s">
        <v>42</v>
      </c>
      <c r="K11" s="5" t="s">
        <v>136</v>
      </c>
      <c r="L11" t="s">
        <v>43</v>
      </c>
      <c r="M11">
        <v>33457</v>
      </c>
      <c r="O11">
        <f>AVERAGE(Table1[Age])</f>
        <v>29.666666666666668</v>
      </c>
      <c r="P11" s="2" t="s">
        <v>149</v>
      </c>
      <c r="Q11" t="s">
        <v>150</v>
      </c>
      <c r="R11" s="2" t="s">
        <v>198</v>
      </c>
      <c r="S11" t="s">
        <v>199</v>
      </c>
    </row>
    <row r="12" spans="5:19" x14ac:dyDescent="0.3">
      <c r="E12">
        <v>5</v>
      </c>
      <c r="F12" t="s">
        <v>250</v>
      </c>
      <c r="G12">
        <v>29</v>
      </c>
      <c r="H12" t="s">
        <v>11</v>
      </c>
      <c r="I12" t="s">
        <v>139</v>
      </c>
      <c r="J12" t="s">
        <v>44</v>
      </c>
      <c r="K12" s="5"/>
      <c r="L12" t="s">
        <v>148</v>
      </c>
      <c r="M12">
        <v>21918</v>
      </c>
      <c r="P12" s="2" t="s">
        <v>151</v>
      </c>
      <c r="Q12" t="s">
        <v>152</v>
      </c>
      <c r="R12" s="2" t="s">
        <v>200</v>
      </c>
      <c r="S12" t="s">
        <v>201</v>
      </c>
    </row>
    <row r="13" spans="5:19" x14ac:dyDescent="0.3">
      <c r="E13">
        <v>6</v>
      </c>
      <c r="F13" t="s">
        <v>45</v>
      </c>
      <c r="G13">
        <v>34</v>
      </c>
      <c r="H13" t="s">
        <v>7</v>
      </c>
      <c r="I13" t="s">
        <v>145</v>
      </c>
      <c r="J13" t="s">
        <v>46</v>
      </c>
      <c r="K13" s="5"/>
      <c r="L13" t="s">
        <v>47</v>
      </c>
      <c r="M13">
        <v>33418</v>
      </c>
      <c r="P13" s="2" t="s">
        <v>153</v>
      </c>
      <c r="Q13" t="s">
        <v>150</v>
      </c>
      <c r="R13" s="2" t="s">
        <v>202</v>
      </c>
      <c r="S13" t="s">
        <v>203</v>
      </c>
    </row>
    <row r="14" spans="5:19" x14ac:dyDescent="0.3">
      <c r="E14">
        <v>7</v>
      </c>
      <c r="F14" t="s">
        <v>48</v>
      </c>
      <c r="G14">
        <v>25</v>
      </c>
      <c r="H14" t="s">
        <v>11</v>
      </c>
      <c r="I14" t="s">
        <v>141</v>
      </c>
      <c r="J14" t="s">
        <v>263</v>
      </c>
      <c r="K14" s="5" t="s">
        <v>137</v>
      </c>
      <c r="L14" t="s">
        <v>49</v>
      </c>
      <c r="M14">
        <v>45828</v>
      </c>
      <c r="P14" s="2" t="s">
        <v>154</v>
      </c>
      <c r="Q14" t="s">
        <v>155</v>
      </c>
      <c r="R14" s="2" t="s">
        <v>204</v>
      </c>
      <c r="S14" t="s">
        <v>205</v>
      </c>
    </row>
    <row r="15" spans="5:19" x14ac:dyDescent="0.3">
      <c r="E15">
        <v>8</v>
      </c>
      <c r="F15" t="s">
        <v>50</v>
      </c>
      <c r="G15">
        <v>31</v>
      </c>
      <c r="H15" t="s">
        <v>7</v>
      </c>
      <c r="I15" t="s">
        <v>139</v>
      </c>
      <c r="J15" t="s">
        <v>51</v>
      </c>
      <c r="K15" s="5">
        <f>91-8888888888</f>
        <v>-8888888797</v>
      </c>
      <c r="L15" t="s">
        <v>148</v>
      </c>
      <c r="M15">
        <v>45450</v>
      </c>
      <c r="P15" s="2" t="s">
        <v>156</v>
      </c>
      <c r="Q15" t="s">
        <v>150</v>
      </c>
      <c r="R15" s="2" t="s">
        <v>200</v>
      </c>
      <c r="S15" t="s">
        <v>199</v>
      </c>
    </row>
    <row r="16" spans="5:19" x14ac:dyDescent="0.3">
      <c r="E16">
        <v>9</v>
      </c>
      <c r="F16" t="s">
        <v>52</v>
      </c>
      <c r="G16">
        <v>27</v>
      </c>
      <c r="H16" t="s">
        <v>11</v>
      </c>
      <c r="I16" t="s">
        <v>139</v>
      </c>
      <c r="J16" t="s">
        <v>53</v>
      </c>
      <c r="K16" s="5">
        <f>91-7777777777</f>
        <v>-7777777686</v>
      </c>
      <c r="L16" t="s">
        <v>54</v>
      </c>
      <c r="M16">
        <v>49938</v>
      </c>
      <c r="P16" s="2" t="s">
        <v>157</v>
      </c>
      <c r="Q16" t="s">
        <v>155</v>
      </c>
      <c r="R16" s="2" t="s">
        <v>206</v>
      </c>
      <c r="S16" t="s">
        <v>207</v>
      </c>
    </row>
    <row r="17" spans="5:19" x14ac:dyDescent="0.3">
      <c r="E17">
        <v>10</v>
      </c>
      <c r="F17" s="2" t="s">
        <v>251</v>
      </c>
      <c r="G17">
        <v>35</v>
      </c>
      <c r="H17" t="s">
        <v>7</v>
      </c>
      <c r="I17" t="s">
        <v>140</v>
      </c>
      <c r="J17" t="s">
        <v>55</v>
      </c>
      <c r="K17" s="5"/>
      <c r="L17" t="s">
        <v>56</v>
      </c>
      <c r="M17">
        <v>9818</v>
      </c>
    </row>
    <row r="18" spans="5:19" x14ac:dyDescent="0.3">
      <c r="E18">
        <v>11</v>
      </c>
      <c r="F18" t="s">
        <v>57</v>
      </c>
      <c r="G18">
        <v>30</v>
      </c>
      <c r="H18" t="s">
        <v>11</v>
      </c>
      <c r="I18" t="s">
        <v>141</v>
      </c>
      <c r="J18" t="s">
        <v>58</v>
      </c>
      <c r="K18" s="5">
        <f>91-6666666666</f>
        <v>-6666666575</v>
      </c>
      <c r="L18" t="s">
        <v>59</v>
      </c>
      <c r="M18">
        <v>41836</v>
      </c>
      <c r="P18" s="2" t="s">
        <v>158</v>
      </c>
      <c r="Q18" t="s">
        <v>150</v>
      </c>
      <c r="R18" s="2" t="s">
        <v>208</v>
      </c>
      <c r="S18" t="s">
        <v>209</v>
      </c>
    </row>
    <row r="19" spans="5:19" x14ac:dyDescent="0.3">
      <c r="E19">
        <v>12</v>
      </c>
      <c r="F19" t="s">
        <v>60</v>
      </c>
      <c r="G19">
        <v>29</v>
      </c>
      <c r="H19" t="s">
        <v>7</v>
      </c>
      <c r="I19" t="s">
        <v>141</v>
      </c>
      <c r="J19" t="s">
        <v>61</v>
      </c>
      <c r="K19" s="5">
        <f>91-5555555555</f>
        <v>-5555555464</v>
      </c>
      <c r="L19" t="s">
        <v>62</v>
      </c>
      <c r="M19">
        <v>11901</v>
      </c>
      <c r="P19" s="2" t="s">
        <v>159</v>
      </c>
      <c r="Q19" t="s">
        <v>152</v>
      </c>
      <c r="R19" s="2" t="s">
        <v>210</v>
      </c>
      <c r="S19" t="s">
        <v>211</v>
      </c>
    </row>
    <row r="20" spans="5:19" x14ac:dyDescent="0.3">
      <c r="E20">
        <v>13</v>
      </c>
      <c r="F20" t="s">
        <v>63</v>
      </c>
      <c r="G20">
        <v>28</v>
      </c>
      <c r="H20" t="s">
        <v>11</v>
      </c>
      <c r="I20" t="s">
        <v>142</v>
      </c>
      <c r="J20" t="s">
        <v>64</v>
      </c>
      <c r="K20" s="5"/>
      <c r="L20" t="s">
        <v>148</v>
      </c>
      <c r="M20">
        <v>21978</v>
      </c>
      <c r="P20" s="2" t="s">
        <v>160</v>
      </c>
      <c r="Q20" t="s">
        <v>150</v>
      </c>
      <c r="R20" s="2" t="s">
        <v>212</v>
      </c>
      <c r="S20" t="s">
        <v>205</v>
      </c>
    </row>
    <row r="21" spans="5:19" x14ac:dyDescent="0.3">
      <c r="E21">
        <v>14</v>
      </c>
      <c r="F21" s="2" t="s">
        <v>252</v>
      </c>
      <c r="G21">
        <v>30</v>
      </c>
      <c r="H21" t="s">
        <v>11</v>
      </c>
      <c r="I21" t="s">
        <v>143</v>
      </c>
      <c r="J21" t="s">
        <v>65</v>
      </c>
      <c r="K21" s="5">
        <f>91-8888888888</f>
        <v>-8888888797</v>
      </c>
      <c r="L21" t="s">
        <v>148</v>
      </c>
      <c r="M21">
        <v>49400</v>
      </c>
      <c r="P21" s="2" t="s">
        <v>161</v>
      </c>
      <c r="Q21" t="s">
        <v>155</v>
      </c>
      <c r="R21" s="2" t="s">
        <v>213</v>
      </c>
      <c r="S21" t="s">
        <v>214</v>
      </c>
    </row>
    <row r="22" spans="5:19" x14ac:dyDescent="0.3">
      <c r="E22">
        <v>15</v>
      </c>
      <c r="F22" t="s">
        <v>66</v>
      </c>
      <c r="G22">
        <v>32</v>
      </c>
      <c r="H22" t="s">
        <v>7</v>
      </c>
      <c r="I22" t="s">
        <v>144</v>
      </c>
      <c r="J22" t="s">
        <v>67</v>
      </c>
      <c r="K22" s="5">
        <f>91-1234567890</f>
        <v>-1234567799</v>
      </c>
      <c r="L22" t="s">
        <v>68</v>
      </c>
      <c r="M22">
        <v>28476</v>
      </c>
      <c r="P22" s="2" t="s">
        <v>162</v>
      </c>
      <c r="Q22" t="s">
        <v>152</v>
      </c>
      <c r="R22" s="2" t="s">
        <v>215</v>
      </c>
      <c r="S22" t="s">
        <v>207</v>
      </c>
    </row>
    <row r="23" spans="5:19" x14ac:dyDescent="0.3">
      <c r="E23">
        <v>16</v>
      </c>
      <c r="F23" t="s">
        <v>69</v>
      </c>
      <c r="G23">
        <v>26</v>
      </c>
      <c r="H23" t="s">
        <v>11</v>
      </c>
      <c r="I23" t="s">
        <v>145</v>
      </c>
      <c r="J23" t="s">
        <v>70</v>
      </c>
      <c r="K23" s="5">
        <f>91-8765432109</f>
        <v>-8765432018</v>
      </c>
      <c r="L23" t="s">
        <v>148</v>
      </c>
      <c r="M23">
        <v>40088</v>
      </c>
      <c r="P23" s="2" t="s">
        <v>163</v>
      </c>
      <c r="Q23" t="s">
        <v>150</v>
      </c>
      <c r="R23" s="2" t="s">
        <v>216</v>
      </c>
      <c r="S23" t="s">
        <v>217</v>
      </c>
    </row>
    <row r="24" spans="5:19" x14ac:dyDescent="0.3">
      <c r="E24">
        <v>17</v>
      </c>
      <c r="F24" t="s">
        <v>6</v>
      </c>
      <c r="G24">
        <v>28</v>
      </c>
      <c r="H24" t="s">
        <v>7</v>
      </c>
      <c r="I24" t="s">
        <v>145</v>
      </c>
      <c r="J24" t="s">
        <v>8</v>
      </c>
      <c r="K24" s="5">
        <f>91-9876543210</f>
        <v>-9876543119</v>
      </c>
      <c r="L24" t="s">
        <v>9</v>
      </c>
      <c r="M24">
        <v>2949</v>
      </c>
      <c r="P24" s="2" t="s">
        <v>164</v>
      </c>
      <c r="Q24" t="s">
        <v>155</v>
      </c>
      <c r="R24" s="2" t="s">
        <v>218</v>
      </c>
      <c r="S24" t="s">
        <v>205</v>
      </c>
    </row>
    <row r="25" spans="5:19" x14ac:dyDescent="0.3">
      <c r="E25">
        <v>18</v>
      </c>
      <c r="F25" t="s">
        <v>10</v>
      </c>
      <c r="G25">
        <v>30</v>
      </c>
      <c r="H25" t="s">
        <v>11</v>
      </c>
      <c r="I25" t="s">
        <v>145</v>
      </c>
      <c r="J25" t="s">
        <v>12</v>
      </c>
      <c r="K25" s="5">
        <f>91-5555555555</f>
        <v>-5555555464</v>
      </c>
      <c r="L25" t="s">
        <v>13</v>
      </c>
      <c r="M25">
        <v>3337</v>
      </c>
      <c r="P25" s="2" t="s">
        <v>165</v>
      </c>
      <c r="Q25" t="s">
        <v>152</v>
      </c>
      <c r="R25" s="2" t="s">
        <v>219</v>
      </c>
      <c r="S25" t="s">
        <v>203</v>
      </c>
    </row>
    <row r="26" spans="5:19" x14ac:dyDescent="0.3">
      <c r="E26">
        <v>19</v>
      </c>
      <c r="F26" s="2" t="s">
        <v>253</v>
      </c>
      <c r="G26">
        <v>32</v>
      </c>
      <c r="H26" t="s">
        <v>7</v>
      </c>
      <c r="I26" t="s">
        <v>143</v>
      </c>
      <c r="J26" t="s">
        <v>14</v>
      </c>
      <c r="K26" s="5">
        <f>91-9999999999</f>
        <v>-9999999908</v>
      </c>
      <c r="L26" t="s">
        <v>148</v>
      </c>
      <c r="M26">
        <v>2857</v>
      </c>
      <c r="P26" s="2" t="s">
        <v>166</v>
      </c>
      <c r="Q26" t="s">
        <v>155</v>
      </c>
      <c r="R26" s="2" t="s">
        <v>220</v>
      </c>
      <c r="S26" t="s">
        <v>221</v>
      </c>
    </row>
    <row r="27" spans="5:19" x14ac:dyDescent="0.3">
      <c r="E27">
        <v>20</v>
      </c>
      <c r="F27" t="s">
        <v>15</v>
      </c>
      <c r="G27">
        <v>26</v>
      </c>
      <c r="H27" t="s">
        <v>11</v>
      </c>
      <c r="I27" t="s">
        <v>144</v>
      </c>
      <c r="J27" t="s">
        <v>16</v>
      </c>
      <c r="K27" s="5"/>
      <c r="L27" t="s">
        <v>17</v>
      </c>
      <c r="M27">
        <v>35969</v>
      </c>
      <c r="P27" s="2" t="s">
        <v>167</v>
      </c>
      <c r="Q27" t="s">
        <v>150</v>
      </c>
      <c r="R27" s="2" t="s">
        <v>222</v>
      </c>
      <c r="S27" t="s">
        <v>205</v>
      </c>
    </row>
    <row r="28" spans="5:19" x14ac:dyDescent="0.3">
      <c r="E28">
        <v>21</v>
      </c>
      <c r="F28" t="s">
        <v>18</v>
      </c>
      <c r="G28">
        <v>33</v>
      </c>
      <c r="H28" t="s">
        <v>7</v>
      </c>
      <c r="I28" t="s">
        <v>145</v>
      </c>
      <c r="J28" t="s">
        <v>19</v>
      </c>
      <c r="K28" s="5">
        <f>91-8888888888</f>
        <v>-8888888797</v>
      </c>
      <c r="L28" t="s">
        <v>20</v>
      </c>
      <c r="M28">
        <v>49681</v>
      </c>
      <c r="P28" s="2" t="s">
        <v>168</v>
      </c>
      <c r="Q28" t="s">
        <v>155</v>
      </c>
      <c r="R28" s="2" t="s">
        <v>223</v>
      </c>
      <c r="S28" t="s">
        <v>217</v>
      </c>
    </row>
    <row r="29" spans="5:19" x14ac:dyDescent="0.3">
      <c r="E29">
        <v>22</v>
      </c>
      <c r="F29" t="s">
        <v>21</v>
      </c>
      <c r="G29">
        <v>29</v>
      </c>
      <c r="H29" t="s">
        <v>7</v>
      </c>
      <c r="I29" t="s">
        <v>140</v>
      </c>
      <c r="J29" t="s">
        <v>22</v>
      </c>
      <c r="K29" s="5" t="s">
        <v>146</v>
      </c>
      <c r="L29" t="s">
        <v>148</v>
      </c>
      <c r="M29">
        <v>15853</v>
      </c>
      <c r="P29" s="2" t="s">
        <v>169</v>
      </c>
      <c r="Q29" t="s">
        <v>150</v>
      </c>
      <c r="R29" s="2" t="s">
        <v>224</v>
      </c>
      <c r="S29" t="s">
        <v>225</v>
      </c>
    </row>
    <row r="30" spans="5:19" x14ac:dyDescent="0.3">
      <c r="E30">
        <v>23</v>
      </c>
      <c r="F30" t="s">
        <v>23</v>
      </c>
      <c r="G30">
        <v>30</v>
      </c>
      <c r="H30" t="s">
        <v>11</v>
      </c>
      <c r="I30" t="s">
        <v>141</v>
      </c>
      <c r="J30" t="s">
        <v>24</v>
      </c>
      <c r="K30" s="5">
        <f>91-5555555555</f>
        <v>-5555555464</v>
      </c>
      <c r="L30" t="s">
        <v>25</v>
      </c>
      <c r="M30">
        <v>6926</v>
      </c>
      <c r="P30" s="2" t="s">
        <v>170</v>
      </c>
      <c r="Q30" t="s">
        <v>152</v>
      </c>
      <c r="R30" s="2" t="s">
        <v>226</v>
      </c>
      <c r="S30" t="s">
        <v>209</v>
      </c>
    </row>
    <row r="31" spans="5:19" x14ac:dyDescent="0.3">
      <c r="E31">
        <v>24</v>
      </c>
      <c r="F31" t="s">
        <v>26</v>
      </c>
      <c r="G31">
        <v>31</v>
      </c>
      <c r="H31" t="s">
        <v>7</v>
      </c>
      <c r="I31" t="s">
        <v>143</v>
      </c>
      <c r="J31" t="s">
        <v>27</v>
      </c>
      <c r="K31" s="5"/>
      <c r="L31" t="s">
        <v>28</v>
      </c>
      <c r="M31">
        <v>45678</v>
      </c>
      <c r="P31" s="2" t="s">
        <v>171</v>
      </c>
      <c r="Q31" t="s">
        <v>155</v>
      </c>
      <c r="R31" s="2" t="s">
        <v>227</v>
      </c>
      <c r="S31" t="s">
        <v>207</v>
      </c>
    </row>
    <row r="32" spans="5:19" x14ac:dyDescent="0.3">
      <c r="E32">
        <v>25</v>
      </c>
      <c r="F32" t="s">
        <v>29</v>
      </c>
      <c r="G32">
        <v>28</v>
      </c>
      <c r="H32" t="s">
        <v>11</v>
      </c>
      <c r="I32" t="s">
        <v>144</v>
      </c>
      <c r="J32" t="s">
        <v>30</v>
      </c>
      <c r="K32" s="5">
        <f>91-7777777777</f>
        <v>-7777777686</v>
      </c>
      <c r="L32" t="s">
        <v>31</v>
      </c>
      <c r="M32">
        <v>8022</v>
      </c>
      <c r="P32" s="2" t="s">
        <v>172</v>
      </c>
      <c r="Q32" t="s">
        <v>150</v>
      </c>
      <c r="R32" s="2" t="s">
        <v>228</v>
      </c>
      <c r="S32" t="s">
        <v>211</v>
      </c>
    </row>
    <row r="33" spans="5:19" x14ac:dyDescent="0.3">
      <c r="E33">
        <v>26</v>
      </c>
      <c r="F33" t="s">
        <v>71</v>
      </c>
      <c r="G33">
        <v>34</v>
      </c>
      <c r="H33" t="s">
        <v>7</v>
      </c>
      <c r="I33" t="s">
        <v>145</v>
      </c>
      <c r="J33" t="s">
        <v>72</v>
      </c>
      <c r="K33" s="5">
        <f>91-8888888888</f>
        <v>-8888888797</v>
      </c>
      <c r="L33" t="s">
        <v>73</v>
      </c>
      <c r="M33">
        <v>3484</v>
      </c>
      <c r="P33" s="2" t="s">
        <v>173</v>
      </c>
      <c r="Q33" t="s">
        <v>155</v>
      </c>
      <c r="R33" s="2" t="s">
        <v>229</v>
      </c>
      <c r="S33" t="s">
        <v>205</v>
      </c>
    </row>
    <row r="34" spans="5:19" x14ac:dyDescent="0.3">
      <c r="E34">
        <v>27</v>
      </c>
      <c r="F34" t="s">
        <v>74</v>
      </c>
      <c r="G34">
        <v>26</v>
      </c>
      <c r="H34" t="s">
        <v>11</v>
      </c>
      <c r="I34" t="s">
        <v>141</v>
      </c>
      <c r="J34" t="s">
        <v>75</v>
      </c>
      <c r="K34" s="5">
        <f>91-7777777777</f>
        <v>-7777777686</v>
      </c>
      <c r="L34" t="s">
        <v>76</v>
      </c>
      <c r="M34">
        <v>11342</v>
      </c>
      <c r="P34" s="2" t="s">
        <v>174</v>
      </c>
      <c r="Q34" t="s">
        <v>152</v>
      </c>
      <c r="R34" s="2" t="s">
        <v>230</v>
      </c>
      <c r="S34" t="s">
        <v>203</v>
      </c>
    </row>
    <row r="35" spans="5:19" x14ac:dyDescent="0.3">
      <c r="E35">
        <v>28</v>
      </c>
      <c r="F35" s="2" t="s">
        <v>254</v>
      </c>
      <c r="G35">
        <v>29</v>
      </c>
      <c r="H35" t="s">
        <v>7</v>
      </c>
      <c r="I35" t="s">
        <v>139</v>
      </c>
      <c r="J35" t="s">
        <v>77</v>
      </c>
      <c r="K35" s="5"/>
      <c r="L35" t="s">
        <v>78</v>
      </c>
      <c r="M35">
        <v>40940</v>
      </c>
      <c r="P35" s="2" t="s">
        <v>175</v>
      </c>
      <c r="Q35" t="s">
        <v>150</v>
      </c>
      <c r="R35" s="2" t="s">
        <v>231</v>
      </c>
      <c r="S35" t="s">
        <v>217</v>
      </c>
    </row>
    <row r="36" spans="5:19" x14ac:dyDescent="0.3">
      <c r="E36">
        <v>29</v>
      </c>
      <c r="F36" t="s">
        <v>52</v>
      </c>
      <c r="G36">
        <v>27</v>
      </c>
      <c r="H36" t="s">
        <v>11</v>
      </c>
      <c r="I36" t="s">
        <v>139</v>
      </c>
      <c r="J36" t="s">
        <v>79</v>
      </c>
      <c r="K36" s="5">
        <f>91-5555555555</f>
        <v>-5555555464</v>
      </c>
      <c r="L36" t="s">
        <v>148</v>
      </c>
      <c r="M36">
        <v>41841</v>
      </c>
      <c r="P36" s="2" t="s">
        <v>176</v>
      </c>
      <c r="Q36" t="s">
        <v>150</v>
      </c>
      <c r="R36" s="2" t="s">
        <v>232</v>
      </c>
      <c r="S36" t="s">
        <v>207</v>
      </c>
    </row>
    <row r="37" spans="5:19" x14ac:dyDescent="0.3">
      <c r="E37">
        <v>30</v>
      </c>
      <c r="F37" t="s">
        <v>80</v>
      </c>
      <c r="G37">
        <v>32</v>
      </c>
      <c r="H37" t="s">
        <v>7</v>
      </c>
      <c r="I37" t="s">
        <v>143</v>
      </c>
      <c r="J37" t="s">
        <v>81</v>
      </c>
      <c r="K37" s="5"/>
      <c r="L37" t="s">
        <v>82</v>
      </c>
      <c r="M37">
        <v>39835</v>
      </c>
      <c r="P37" s="2" t="s">
        <v>177</v>
      </c>
      <c r="Q37" t="s">
        <v>155</v>
      </c>
      <c r="R37" s="2" t="s">
        <v>216</v>
      </c>
      <c r="S37" t="s">
        <v>233</v>
      </c>
    </row>
    <row r="38" spans="5:19" x14ac:dyDescent="0.3">
      <c r="E38">
        <v>31</v>
      </c>
      <c r="F38" s="2" t="s">
        <v>255</v>
      </c>
      <c r="G38">
        <v>33</v>
      </c>
      <c r="H38" t="s">
        <v>11</v>
      </c>
      <c r="I38" t="s">
        <v>144</v>
      </c>
      <c r="J38" t="s">
        <v>83</v>
      </c>
      <c r="K38" s="5">
        <f>91-6666666666</f>
        <v>-6666666575</v>
      </c>
      <c r="L38" t="s">
        <v>84</v>
      </c>
      <c r="M38">
        <v>9577</v>
      </c>
      <c r="P38" s="2" t="s">
        <v>178</v>
      </c>
      <c r="Q38" t="s">
        <v>152</v>
      </c>
      <c r="R38" s="2" t="s">
        <v>234</v>
      </c>
      <c r="S38" t="s">
        <v>217</v>
      </c>
    </row>
    <row r="39" spans="5:19" x14ac:dyDescent="0.3">
      <c r="E39">
        <v>32</v>
      </c>
      <c r="F39" t="s">
        <v>85</v>
      </c>
      <c r="G39">
        <v>30</v>
      </c>
      <c r="H39" t="s">
        <v>7</v>
      </c>
      <c r="I39" t="s">
        <v>145</v>
      </c>
      <c r="J39" t="s">
        <v>86</v>
      </c>
      <c r="K39" s="5"/>
      <c r="L39" t="s">
        <v>87</v>
      </c>
      <c r="M39">
        <v>29480</v>
      </c>
      <c r="P39" s="2" t="s">
        <v>159</v>
      </c>
      <c r="Q39" t="s">
        <v>150</v>
      </c>
      <c r="R39" s="2" t="s">
        <v>210</v>
      </c>
      <c r="S39" t="s">
        <v>211</v>
      </c>
    </row>
    <row r="40" spans="5:19" x14ac:dyDescent="0.3">
      <c r="E40">
        <v>33</v>
      </c>
      <c r="F40" t="s">
        <v>88</v>
      </c>
      <c r="G40">
        <v>30</v>
      </c>
      <c r="H40" t="s">
        <v>11</v>
      </c>
      <c r="I40" t="s">
        <v>141</v>
      </c>
      <c r="J40" t="s">
        <v>89</v>
      </c>
      <c r="K40" s="5">
        <f>91-5555555555</f>
        <v>-5555555464</v>
      </c>
      <c r="L40" t="s">
        <v>90</v>
      </c>
      <c r="M40">
        <v>14254</v>
      </c>
      <c r="P40" s="2" t="s">
        <v>179</v>
      </c>
      <c r="Q40" t="s">
        <v>155</v>
      </c>
      <c r="R40" s="2" t="s">
        <v>215</v>
      </c>
      <c r="S40" t="s">
        <v>205</v>
      </c>
    </row>
    <row r="41" spans="5:19" x14ac:dyDescent="0.3">
      <c r="E41">
        <v>34</v>
      </c>
      <c r="F41" t="s">
        <v>91</v>
      </c>
      <c r="G41">
        <v>29</v>
      </c>
      <c r="H41" t="s">
        <v>7</v>
      </c>
      <c r="I41" t="s">
        <v>139</v>
      </c>
      <c r="J41" t="s">
        <v>92</v>
      </c>
      <c r="K41" s="5">
        <f>91-7777777777</f>
        <v>-7777777686</v>
      </c>
      <c r="L41" t="s">
        <v>93</v>
      </c>
      <c r="M41">
        <v>37358</v>
      </c>
      <c r="P41" s="2" t="s">
        <v>180</v>
      </c>
      <c r="Q41" t="s">
        <v>152</v>
      </c>
      <c r="R41" s="2" t="s">
        <v>235</v>
      </c>
      <c r="S41" t="s">
        <v>203</v>
      </c>
    </row>
    <row r="42" spans="5:19" x14ac:dyDescent="0.3">
      <c r="E42">
        <v>35</v>
      </c>
      <c r="F42" s="2" t="s">
        <v>256</v>
      </c>
      <c r="G42">
        <v>31</v>
      </c>
      <c r="H42" t="s">
        <v>11</v>
      </c>
      <c r="I42" t="s">
        <v>139</v>
      </c>
      <c r="J42" t="s">
        <v>94</v>
      </c>
      <c r="K42" s="5"/>
      <c r="L42" t="s">
        <v>95</v>
      </c>
      <c r="M42">
        <v>48367</v>
      </c>
      <c r="P42" s="2" t="s">
        <v>181</v>
      </c>
      <c r="Q42" t="s">
        <v>150</v>
      </c>
      <c r="R42" s="2" t="s">
        <v>236</v>
      </c>
      <c r="S42" t="s">
        <v>217</v>
      </c>
    </row>
    <row r="43" spans="5:19" x14ac:dyDescent="0.3">
      <c r="E43">
        <v>36</v>
      </c>
      <c r="F43" t="s">
        <v>96</v>
      </c>
      <c r="G43">
        <v>28</v>
      </c>
      <c r="H43" t="s">
        <v>7</v>
      </c>
      <c r="I43" t="s">
        <v>142</v>
      </c>
      <c r="J43" t="s">
        <v>97</v>
      </c>
      <c r="K43" s="5">
        <f>91-8888888888</f>
        <v>-8888888797</v>
      </c>
      <c r="L43" t="s">
        <v>98</v>
      </c>
      <c r="M43">
        <v>37473</v>
      </c>
      <c r="P43" s="2" t="s">
        <v>182</v>
      </c>
      <c r="Q43" t="s">
        <v>155</v>
      </c>
      <c r="R43" s="2" t="s">
        <v>204</v>
      </c>
      <c r="S43" t="s">
        <v>211</v>
      </c>
    </row>
    <row r="44" spans="5:19" x14ac:dyDescent="0.3">
      <c r="E44">
        <v>37</v>
      </c>
      <c r="F44" t="s">
        <v>99</v>
      </c>
      <c r="G44">
        <v>33</v>
      </c>
      <c r="H44" t="s">
        <v>11</v>
      </c>
      <c r="I44" t="s">
        <v>142</v>
      </c>
      <c r="J44" t="s">
        <v>100</v>
      </c>
      <c r="K44" s="5">
        <f>91-9999999999</f>
        <v>-9999999908</v>
      </c>
      <c r="L44" t="s">
        <v>101</v>
      </c>
      <c r="M44">
        <v>30628</v>
      </c>
      <c r="P44" s="2" t="s">
        <v>183</v>
      </c>
      <c r="Q44" t="s">
        <v>152</v>
      </c>
      <c r="R44" s="2" t="s">
        <v>237</v>
      </c>
      <c r="S44" t="s">
        <v>203</v>
      </c>
    </row>
    <row r="45" spans="5:19" x14ac:dyDescent="0.3">
      <c r="E45">
        <v>38</v>
      </c>
      <c r="F45" t="s">
        <v>102</v>
      </c>
      <c r="G45">
        <v>30</v>
      </c>
      <c r="H45" t="s">
        <v>7</v>
      </c>
      <c r="I45" t="s">
        <v>140</v>
      </c>
      <c r="J45" t="s">
        <v>103</v>
      </c>
      <c r="K45" s="5"/>
      <c r="L45" t="s">
        <v>104</v>
      </c>
      <c r="M45">
        <v>22018</v>
      </c>
      <c r="P45" s="2" t="s">
        <v>184</v>
      </c>
      <c r="Q45" t="s">
        <v>150</v>
      </c>
      <c r="R45" s="2" t="s">
        <v>238</v>
      </c>
      <c r="S45" t="s">
        <v>205</v>
      </c>
    </row>
    <row r="46" spans="5:19" x14ac:dyDescent="0.3">
      <c r="E46">
        <v>39</v>
      </c>
      <c r="F46" t="s">
        <v>105</v>
      </c>
      <c r="G46">
        <v>27</v>
      </c>
      <c r="H46" t="s">
        <v>11</v>
      </c>
      <c r="I46" t="s">
        <v>145</v>
      </c>
      <c r="J46" t="s">
        <v>106</v>
      </c>
      <c r="K46" s="5">
        <f>91-7777777777</f>
        <v>-7777777686</v>
      </c>
      <c r="L46" t="s">
        <v>107</v>
      </c>
      <c r="M46">
        <v>35747</v>
      </c>
      <c r="P46" s="2" t="s">
        <v>185</v>
      </c>
      <c r="Q46" t="s">
        <v>155</v>
      </c>
      <c r="R46" s="2" t="s">
        <v>239</v>
      </c>
      <c r="S46" t="s">
        <v>209</v>
      </c>
    </row>
    <row r="47" spans="5:19" x14ac:dyDescent="0.3">
      <c r="E47">
        <v>40</v>
      </c>
      <c r="F47" t="s">
        <v>108</v>
      </c>
      <c r="G47">
        <v>29</v>
      </c>
      <c r="H47" t="s">
        <v>7</v>
      </c>
      <c r="I47" t="s">
        <v>139</v>
      </c>
      <c r="J47" t="s">
        <v>109</v>
      </c>
      <c r="K47" s="5"/>
      <c r="L47" t="s">
        <v>110</v>
      </c>
      <c r="M47">
        <v>32258</v>
      </c>
      <c r="P47" s="2" t="s">
        <v>186</v>
      </c>
      <c r="Q47" t="s">
        <v>152</v>
      </c>
      <c r="R47" s="2" t="s">
        <v>218</v>
      </c>
      <c r="S47" t="s">
        <v>217</v>
      </c>
    </row>
    <row r="48" spans="5:19" x14ac:dyDescent="0.3">
      <c r="E48">
        <v>41</v>
      </c>
      <c r="F48" t="s">
        <v>111</v>
      </c>
      <c r="G48">
        <v>26</v>
      </c>
      <c r="H48" t="s">
        <v>11</v>
      </c>
      <c r="I48" t="s">
        <v>143</v>
      </c>
      <c r="J48" t="s">
        <v>112</v>
      </c>
      <c r="K48" s="5">
        <f>91-5555555555</f>
        <v>-5555555464</v>
      </c>
      <c r="L48" t="s">
        <v>113</v>
      </c>
      <c r="M48">
        <v>31047</v>
      </c>
      <c r="P48" s="2" t="s">
        <v>187</v>
      </c>
      <c r="Q48" t="s">
        <v>150</v>
      </c>
      <c r="R48" s="2" t="s">
        <v>234</v>
      </c>
      <c r="S48" t="s">
        <v>203</v>
      </c>
    </row>
    <row r="49" spans="5:20" x14ac:dyDescent="0.3">
      <c r="E49">
        <v>42</v>
      </c>
      <c r="F49" s="2" t="s">
        <v>257</v>
      </c>
      <c r="G49">
        <v>28</v>
      </c>
      <c r="H49" t="s">
        <v>7</v>
      </c>
      <c r="I49" t="s">
        <v>144</v>
      </c>
      <c r="J49" t="s">
        <v>114</v>
      </c>
      <c r="K49" s="5"/>
      <c r="L49" t="s">
        <v>115</v>
      </c>
      <c r="M49">
        <v>31064</v>
      </c>
      <c r="P49" s="2" t="s">
        <v>188</v>
      </c>
      <c r="Q49" t="s">
        <v>155</v>
      </c>
      <c r="R49" s="2" t="s">
        <v>240</v>
      </c>
      <c r="S49" t="s">
        <v>233</v>
      </c>
    </row>
    <row r="50" spans="5:20" x14ac:dyDescent="0.3">
      <c r="E50">
        <v>43</v>
      </c>
      <c r="F50" t="s">
        <v>116</v>
      </c>
      <c r="G50">
        <v>31</v>
      </c>
      <c r="H50" t="s">
        <v>7</v>
      </c>
      <c r="I50" t="s">
        <v>145</v>
      </c>
      <c r="J50" t="s">
        <v>117</v>
      </c>
      <c r="K50" s="5">
        <f>91-8888888888</f>
        <v>-8888888797</v>
      </c>
      <c r="L50" t="s">
        <v>148</v>
      </c>
      <c r="M50">
        <v>3108</v>
      </c>
      <c r="P50" s="2" t="s">
        <v>189</v>
      </c>
      <c r="Q50" t="s">
        <v>150</v>
      </c>
      <c r="R50" s="2" t="s">
        <v>241</v>
      </c>
      <c r="S50" t="s">
        <v>207</v>
      </c>
    </row>
    <row r="51" spans="5:20" x14ac:dyDescent="0.3">
      <c r="E51">
        <v>44</v>
      </c>
      <c r="F51" t="s">
        <v>118</v>
      </c>
      <c r="G51">
        <v>27</v>
      </c>
      <c r="H51" t="s">
        <v>11</v>
      </c>
      <c r="I51" t="s">
        <v>142</v>
      </c>
      <c r="J51" t="s">
        <v>119</v>
      </c>
      <c r="K51" s="5">
        <f>91-7777777777</f>
        <v>-7777777686</v>
      </c>
      <c r="L51" t="s">
        <v>120</v>
      </c>
      <c r="M51">
        <v>20205</v>
      </c>
      <c r="P51" s="2" t="s">
        <v>190</v>
      </c>
      <c r="Q51" t="s">
        <v>152</v>
      </c>
      <c r="R51" s="2" t="s">
        <v>229</v>
      </c>
      <c r="S51" t="s">
        <v>211</v>
      </c>
    </row>
    <row r="52" spans="5:20" x14ac:dyDescent="0.3">
      <c r="E52">
        <v>45</v>
      </c>
      <c r="F52" s="2" t="s">
        <v>258</v>
      </c>
      <c r="G52">
        <v>29</v>
      </c>
      <c r="H52" t="s">
        <v>7</v>
      </c>
      <c r="I52" t="s">
        <v>142</v>
      </c>
      <c r="J52" t="s">
        <v>121</v>
      </c>
      <c r="K52" s="5"/>
      <c r="L52" t="s">
        <v>122</v>
      </c>
      <c r="M52">
        <v>8746</v>
      </c>
      <c r="P52" s="2" t="s">
        <v>191</v>
      </c>
      <c r="Q52" t="s">
        <v>155</v>
      </c>
      <c r="R52" s="2" t="s">
        <v>242</v>
      </c>
      <c r="S52" t="s">
        <v>205</v>
      </c>
    </row>
    <row r="53" spans="5:20" x14ac:dyDescent="0.3">
      <c r="E53">
        <v>46</v>
      </c>
      <c r="F53" t="s">
        <v>123</v>
      </c>
      <c r="G53">
        <v>32</v>
      </c>
      <c r="H53" t="s">
        <v>11</v>
      </c>
      <c r="I53" t="s">
        <v>141</v>
      </c>
      <c r="J53" t="s">
        <v>124</v>
      </c>
      <c r="K53" s="5">
        <f>91-6666666666</f>
        <v>-6666666575</v>
      </c>
      <c r="L53" t="s">
        <v>125</v>
      </c>
      <c r="M53">
        <v>15531</v>
      </c>
      <c r="P53" s="2" t="s">
        <v>192</v>
      </c>
      <c r="Q53" t="s">
        <v>150</v>
      </c>
      <c r="R53" s="2" t="s">
        <v>243</v>
      </c>
      <c r="S53" t="s">
        <v>217</v>
      </c>
    </row>
    <row r="54" spans="5:20" x14ac:dyDescent="0.3">
      <c r="E54">
        <v>47</v>
      </c>
      <c r="F54" t="s">
        <v>126</v>
      </c>
      <c r="G54">
        <v>30</v>
      </c>
      <c r="H54" t="s">
        <v>7</v>
      </c>
      <c r="I54" t="s">
        <v>139</v>
      </c>
      <c r="J54" t="s">
        <v>127</v>
      </c>
      <c r="K54" s="5">
        <f>91-5555555555</f>
        <v>-5555555464</v>
      </c>
      <c r="L54" t="s">
        <v>128</v>
      </c>
      <c r="M54">
        <v>23055</v>
      </c>
      <c r="P54" s="2" t="s">
        <v>193</v>
      </c>
      <c r="Q54" t="s">
        <v>155</v>
      </c>
      <c r="R54" s="2" t="s">
        <v>244</v>
      </c>
      <c r="S54" t="s">
        <v>203</v>
      </c>
    </row>
    <row r="55" spans="5:20" x14ac:dyDescent="0.3">
      <c r="E55">
        <v>48</v>
      </c>
      <c r="F55" t="s">
        <v>129</v>
      </c>
      <c r="G55">
        <v>30</v>
      </c>
      <c r="H55" t="s">
        <v>11</v>
      </c>
      <c r="I55" t="s">
        <v>139</v>
      </c>
      <c r="J55" t="s">
        <v>130</v>
      </c>
      <c r="K55" s="5"/>
      <c r="L55" t="s">
        <v>131</v>
      </c>
      <c r="M55">
        <v>18647</v>
      </c>
      <c r="P55" s="2" t="s">
        <v>194</v>
      </c>
      <c r="Q55" t="s">
        <v>150</v>
      </c>
      <c r="R55" s="2" t="s">
        <v>245</v>
      </c>
      <c r="S55" t="s">
        <v>207</v>
      </c>
    </row>
    <row r="56" spans="5:20" x14ac:dyDescent="0.3">
      <c r="Q56" s="2" t="s">
        <v>195</v>
      </c>
      <c r="R56" t="s">
        <v>152</v>
      </c>
      <c r="S56" s="2" t="s">
        <v>246</v>
      </c>
      <c r="T56" t="s">
        <v>247</v>
      </c>
    </row>
    <row r="57" spans="5:20" x14ac:dyDescent="0.3">
      <c r="Q57" s="2" t="s">
        <v>196</v>
      </c>
      <c r="R57" t="s">
        <v>155</v>
      </c>
      <c r="S57" s="2" t="s">
        <v>248</v>
      </c>
      <c r="T57" t="s">
        <v>217</v>
      </c>
    </row>
    <row r="58" spans="5:20" x14ac:dyDescent="0.3">
      <c r="Q58" s="2" t="s">
        <v>197</v>
      </c>
      <c r="R58" t="s">
        <v>150</v>
      </c>
      <c r="S58" s="2" t="s">
        <v>249</v>
      </c>
      <c r="T58" t="s">
        <v>205</v>
      </c>
    </row>
  </sheetData>
  <phoneticPr fontId="4" type="noConversion"/>
  <conditionalFormatting sqref="M8:M55">
    <cfRule type="top10" dxfId="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2023-05-23T10:44:09Z</dcterms:modified>
</cp:coreProperties>
</file>